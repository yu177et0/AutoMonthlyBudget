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filterPrivacy="1" codeName="ThisWorkbook" defaultThemeVersion="166925"/>
  <xr:revisionPtr revIDLastSave="0" documentId="13_ncr:1_{F97DBD99-CB31-4129-B8BC-BD2F3D20438B}" xr6:coauthVersionLast="43" xr6:coauthVersionMax="43" xr10:uidLastSave="{00000000-0000-0000-0000-000000000000}"/>
  <bookViews>
    <workbookView xWindow="560" yWindow="190" windowWidth="22670" windowHeight="13470" xr2:uid="{EB36D26B-7DD4-4EBD-9CDA-85FEC461CAFB}"/>
  </bookViews>
  <sheets>
    <sheet name="Main" sheetId="2" r:id="rId1"/>
    <sheet name="Master" sheetId="1" r:id="rId2"/>
    <sheet name="List" sheetId="3" r:id="rId3"/>
    <sheet name="Card" sheetId="5" r:id="rId4"/>
    <sheet name="LUT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5" i="1" l="1"/>
  <c r="B16" i="1"/>
  <c r="B17" i="1"/>
  <c r="B18" i="1"/>
  <c r="D4" i="1" l="1"/>
  <c r="D6" i="1" s="1"/>
  <c r="C4" i="1"/>
  <c r="C6" i="1" s="1"/>
  <c r="C5" i="1" l="1"/>
  <c r="D5" i="1"/>
  <c r="D17" i="1"/>
  <c r="C17" i="1" l="1"/>
  <c r="E17" i="1" s="1"/>
  <c r="B8" i="1" l="1"/>
  <c r="B9" i="1"/>
  <c r="B10" i="1"/>
  <c r="B11" i="1"/>
  <c r="B12" i="1"/>
  <c r="D12" i="1" s="1"/>
  <c r="B13" i="1"/>
  <c r="B14" i="1"/>
  <c r="C12" i="1" l="1"/>
  <c r="E5" i="1"/>
  <c r="C14" i="1"/>
  <c r="D14" i="1"/>
  <c r="E14" i="1" s="1"/>
  <c r="C10" i="1"/>
  <c r="D10" i="1"/>
  <c r="C8" i="1"/>
  <c r="D8" i="1"/>
  <c r="E8" i="1" s="1"/>
  <c r="C13" i="1"/>
  <c r="D13" i="1"/>
  <c r="C9" i="1"/>
  <c r="D9" i="1"/>
  <c r="C16" i="1"/>
  <c r="D16" i="1"/>
  <c r="C15" i="1"/>
  <c r="D15" i="1"/>
  <c r="C11" i="1"/>
  <c r="D11" i="1"/>
  <c r="C18" i="1"/>
  <c r="D18" i="1"/>
  <c r="E12" i="1"/>
  <c r="C7" i="1"/>
  <c r="D7" i="1"/>
  <c r="E6" i="1"/>
  <c r="E15" i="1" l="1"/>
  <c r="E9" i="1"/>
  <c r="E7" i="1"/>
  <c r="E18" i="1"/>
  <c r="E11" i="1"/>
  <c r="E13" i="1"/>
  <c r="E16" i="1"/>
  <c r="E10" i="1"/>
</calcChain>
</file>

<file path=xl/sharedStrings.xml><?xml version="1.0" encoding="utf-8"?>
<sst xmlns="http://schemas.openxmlformats.org/spreadsheetml/2006/main" count="51" uniqueCount="42">
  <si>
    <t>Income</t>
    <phoneticPr fontId="1"/>
  </si>
  <si>
    <t>Date</t>
    <phoneticPr fontId="1"/>
  </si>
  <si>
    <t>Amount</t>
    <phoneticPr fontId="1"/>
  </si>
  <si>
    <t>Description</t>
    <phoneticPr fontId="1"/>
  </si>
  <si>
    <t>Category</t>
    <phoneticPr fontId="1"/>
  </si>
  <si>
    <t>Who</t>
    <phoneticPr fontId="1"/>
  </si>
  <si>
    <t>Total Income</t>
    <phoneticPr fontId="1"/>
  </si>
  <si>
    <t>Total Expense</t>
    <phoneticPr fontId="1"/>
  </si>
  <si>
    <t>Food</t>
    <phoneticPr fontId="1"/>
  </si>
  <si>
    <t>Home</t>
    <phoneticPr fontId="1"/>
  </si>
  <si>
    <t>Utilities</t>
    <phoneticPr fontId="1"/>
  </si>
  <si>
    <t>Shopping</t>
    <phoneticPr fontId="1"/>
  </si>
  <si>
    <t>Groceries</t>
  </si>
  <si>
    <t>Car</t>
    <phoneticPr fontId="1"/>
  </si>
  <si>
    <t>Debt</t>
    <phoneticPr fontId="1"/>
  </si>
  <si>
    <t>Medical</t>
    <phoneticPr fontId="1"/>
  </si>
  <si>
    <t>Transportation</t>
    <phoneticPr fontId="1"/>
  </si>
  <si>
    <t>Gifts</t>
    <phoneticPr fontId="1"/>
  </si>
  <si>
    <t>NET</t>
    <phoneticPr fontId="1"/>
  </si>
  <si>
    <t>Total</t>
    <phoneticPr fontId="1"/>
  </si>
  <si>
    <t>Expenses</t>
    <phoneticPr fontId="1"/>
  </si>
  <si>
    <t>Summary</t>
    <phoneticPr fontId="1"/>
  </si>
  <si>
    <t>Expenses Category</t>
    <phoneticPr fontId="1"/>
  </si>
  <si>
    <t>Income Cotegory</t>
    <phoneticPr fontId="1"/>
  </si>
  <si>
    <t>Paycheck</t>
    <phoneticPr fontId="1"/>
  </si>
  <si>
    <t>Interest</t>
    <phoneticPr fontId="1"/>
  </si>
  <si>
    <t>MMMYYYY Monthly Budget</t>
    <phoneticPr fontId="1"/>
  </si>
  <si>
    <t>Food</t>
  </si>
  <si>
    <t>Note</t>
    <phoneticPr fontId="1"/>
  </si>
  <si>
    <t>Bonus</t>
    <phoneticPr fontId="1"/>
  </si>
  <si>
    <t>Person1</t>
    <phoneticPr fontId="1"/>
  </si>
  <si>
    <t>Person2</t>
    <phoneticPr fontId="1"/>
  </si>
  <si>
    <t>Payer</t>
    <phoneticPr fontId="1"/>
  </si>
  <si>
    <t>Item</t>
    <phoneticPr fontId="1"/>
  </si>
  <si>
    <t>Category</t>
    <phoneticPr fontId="1"/>
  </si>
  <si>
    <t>Card</t>
    <phoneticPr fontId="1"/>
  </si>
  <si>
    <t>Card1</t>
    <phoneticPr fontId="1"/>
  </si>
  <si>
    <t>Card2</t>
    <phoneticPr fontId="1"/>
  </si>
  <si>
    <t>Card3</t>
    <phoneticPr fontId="1"/>
  </si>
  <si>
    <t>Misc</t>
    <phoneticPr fontId="1"/>
  </si>
  <si>
    <t>Restaurant1</t>
    <phoneticPr fontId="1"/>
  </si>
  <si>
    <t>Skip Header Row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</si>
</sst>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6"/>
      <color theme="5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8"/>
      <color theme="5" tint="-0.249977111117893"/>
      <name val="游ゴシック"/>
      <family val="3"/>
      <charset val="128"/>
      <scheme val="minor"/>
    </font>
    <font>
      <b/>
      <sz val="20"/>
      <color theme="5" tint="-0.249977111117893"/>
      <name val="游ゴシック"/>
      <family val="3"/>
      <charset val="128"/>
      <scheme val="minor"/>
    </font>
    <font>
      <b/>
      <sz val="20"/>
      <color rgb="FFFF0000"/>
      <name val="游ゴシック"/>
      <family val="3"/>
      <charset val="128"/>
      <scheme val="minor"/>
    </font>
    <font>
      <b/>
      <sz val="20"/>
      <color theme="5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8" fontId="2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0" fillId="0" borderId="1" xfId="0" applyBorder="1">
      <alignment vertical="center"/>
    </xf>
    <xf numFmtId="8" fontId="0" fillId="0" borderId="1" xfId="1" applyFont="1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8" fontId="0" fillId="0" borderId="12" xfId="1" applyFont="1" applyBorder="1">
      <alignment vertical="center"/>
    </xf>
    <xf numFmtId="8" fontId="0" fillId="0" borderId="13" xfId="1" applyFont="1" applyBorder="1">
      <alignment vertical="center"/>
    </xf>
    <xf numFmtId="0" fontId="4" fillId="2" borderId="15" xfId="0" applyFont="1" applyFill="1" applyBorder="1">
      <alignment vertical="center"/>
    </xf>
    <xf numFmtId="0" fontId="4" fillId="2" borderId="16" xfId="0" applyFont="1" applyFill="1" applyBorder="1">
      <alignment vertical="center"/>
    </xf>
    <xf numFmtId="0" fontId="4" fillId="2" borderId="18" xfId="0" applyFont="1" applyFill="1" applyBorder="1">
      <alignment vertical="center"/>
    </xf>
    <xf numFmtId="8" fontId="0" fillId="3" borderId="12" xfId="1" applyFont="1" applyFill="1" applyBorder="1">
      <alignment vertical="center"/>
    </xf>
    <xf numFmtId="0" fontId="6" fillId="4" borderId="2" xfId="0" applyFont="1" applyFill="1" applyBorder="1">
      <alignment vertical="center"/>
    </xf>
    <xf numFmtId="8" fontId="7" fillId="4" borderId="11" xfId="1" applyFont="1" applyFill="1" applyBorder="1">
      <alignment vertical="center"/>
    </xf>
    <xf numFmtId="0" fontId="7" fillId="4" borderId="21" xfId="0" applyFont="1" applyFill="1" applyBorder="1">
      <alignment vertical="center"/>
    </xf>
    <xf numFmtId="0" fontId="7" fillId="4" borderId="20" xfId="0" applyFont="1" applyFill="1" applyBorder="1">
      <alignment vertical="center"/>
    </xf>
    <xf numFmtId="0" fontId="0" fillId="5" borderId="16" xfId="0" applyFill="1" applyBorder="1">
      <alignment vertical="center"/>
    </xf>
    <xf numFmtId="0" fontId="0" fillId="5" borderId="17" xfId="0" applyFill="1" applyBorder="1">
      <alignment vertical="center"/>
    </xf>
    <xf numFmtId="0" fontId="5" fillId="0" borderId="0" xfId="0" applyFont="1" applyFill="1">
      <alignment vertical="center"/>
    </xf>
    <xf numFmtId="0" fontId="0" fillId="0" borderId="0" xfId="0" applyFill="1">
      <alignment vertical="center"/>
    </xf>
    <xf numFmtId="0" fontId="8" fillId="0" borderId="0" xfId="0" applyFont="1">
      <alignment vertical="center"/>
    </xf>
    <xf numFmtId="0" fontId="3" fillId="4" borderId="3" xfId="0" applyFont="1" applyFill="1" applyBorder="1">
      <alignment vertical="center"/>
    </xf>
    <xf numFmtId="0" fontId="6" fillId="4" borderId="4" xfId="0" applyFont="1" applyFill="1" applyBorder="1">
      <alignment vertical="center"/>
    </xf>
    <xf numFmtId="0" fontId="6" fillId="4" borderId="5" xfId="0" applyFont="1" applyFill="1" applyBorder="1">
      <alignment vertical="center"/>
    </xf>
    <xf numFmtId="8" fontId="0" fillId="0" borderId="9" xfId="1" applyFont="1" applyBorder="1">
      <alignment vertical="center"/>
    </xf>
    <xf numFmtId="14" fontId="0" fillId="0" borderId="6" xfId="0" applyNumberFormat="1" applyBorder="1">
      <alignment vertical="center"/>
    </xf>
    <xf numFmtId="14" fontId="0" fillId="0" borderId="8" xfId="0" applyNumberFormat="1" applyBorder="1">
      <alignment vertical="center"/>
    </xf>
    <xf numFmtId="8" fontId="0" fillId="3" borderId="25" xfId="0" applyNumberFormat="1" applyFill="1" applyBorder="1">
      <alignment vertical="center"/>
    </xf>
    <xf numFmtId="8" fontId="0" fillId="3" borderId="26" xfId="0" applyNumberFormat="1" applyFill="1" applyBorder="1">
      <alignment vertical="center"/>
    </xf>
    <xf numFmtId="8" fontId="0" fillId="3" borderId="19" xfId="0" applyNumberFormat="1" applyFill="1" applyBorder="1">
      <alignment vertical="center"/>
    </xf>
    <xf numFmtId="8" fontId="0" fillId="3" borderId="23" xfId="0" applyNumberFormat="1" applyFill="1" applyBorder="1">
      <alignment vertical="center"/>
    </xf>
    <xf numFmtId="8" fontId="0" fillId="3" borderId="27" xfId="0" applyNumberFormat="1" applyFill="1" applyBorder="1">
      <alignment vertical="center"/>
    </xf>
    <xf numFmtId="0" fontId="0" fillId="6" borderId="0" xfId="0" applyFill="1">
      <alignment vertical="center"/>
    </xf>
    <xf numFmtId="0" fontId="5" fillId="6" borderId="0" xfId="0" applyFont="1" applyFill="1">
      <alignment vertical="center"/>
    </xf>
    <xf numFmtId="0" fontId="9" fillId="6" borderId="0" xfId="0" applyFont="1" applyFill="1">
      <alignment vertical="center"/>
    </xf>
    <xf numFmtId="8" fontId="0" fillId="0" borderId="25" xfId="1" applyFont="1" applyBorder="1">
      <alignment vertical="center"/>
    </xf>
    <xf numFmtId="8" fontId="0" fillId="0" borderId="22" xfId="1" applyFont="1" applyBorder="1">
      <alignment vertical="center"/>
    </xf>
    <xf numFmtId="8" fontId="0" fillId="0" borderId="14" xfId="1" applyFont="1" applyBorder="1">
      <alignment vertical="center"/>
    </xf>
    <xf numFmtId="8" fontId="0" fillId="0" borderId="24" xfId="1" applyFont="1" applyBorder="1">
      <alignment vertical="center"/>
    </xf>
    <xf numFmtId="8" fontId="0" fillId="0" borderId="28" xfId="1" applyFont="1" applyBorder="1">
      <alignment vertical="center"/>
    </xf>
    <xf numFmtId="0" fontId="6" fillId="4" borderId="29" xfId="0" applyFont="1" applyFill="1" applyBorder="1">
      <alignment vertical="center"/>
    </xf>
    <xf numFmtId="0" fontId="0" fillId="0" borderId="22" xfId="0" applyBorder="1">
      <alignment vertical="center"/>
    </xf>
    <xf numFmtId="0" fontId="0" fillId="0" borderId="24" xfId="0" applyBorder="1">
      <alignment vertical="center"/>
    </xf>
    <xf numFmtId="0" fontId="10" fillId="6" borderId="0" xfId="0" applyFont="1" applyFill="1">
      <alignment vertical="center"/>
    </xf>
    <xf numFmtId="0" fontId="11" fillId="6" borderId="0" xfId="0" applyFont="1" applyFill="1">
      <alignment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021A2D"/>
      <color rgb="FF008080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3CD-4752-BF7C-9AA043D8D4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C3CD-4752-BF7C-9AA043D8D4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3CD-4752-BF7C-9AA043D8D4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C3CD-4752-BF7C-9AA043D8D4C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3CD-4752-BF7C-9AA043D8D4C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C3CD-4752-BF7C-9AA043D8D4C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3CD-4752-BF7C-9AA043D8D4C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C3CD-4752-BF7C-9AA043D8D4C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3CD-4752-BF7C-9AA043D8D4C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C3CD-4752-BF7C-9AA043D8D4C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3CD-4752-BF7C-9AA043D8D4C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C3CD-4752-BF7C-9AA043D8D4C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C3CD-4752-BF7C-9AA043D8D4C2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C3CD-4752-BF7C-9AA043D8D4C2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C3CD-4752-BF7C-9AA043D8D4C2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C3CD-4752-BF7C-9AA043D8D4C2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C3CD-4752-BF7C-9AA043D8D4C2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C3CD-4752-BF7C-9AA043D8D4C2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C3CD-4752-BF7C-9AA043D8D4C2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C3CD-4752-BF7C-9AA043D8D4C2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A-C3CD-4752-BF7C-9AA043D8D4C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C3CD-4752-BF7C-9AA043D8D4C2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Master!$B$8:$B$18</c:f>
              <c:strCache>
                <c:ptCount val="11"/>
                <c:pt idx="0">
                  <c:v>Car</c:v>
                </c:pt>
                <c:pt idx="1">
                  <c:v>Debt</c:v>
                </c:pt>
                <c:pt idx="2">
                  <c:v>Food</c:v>
                </c:pt>
                <c:pt idx="3">
                  <c:v>Gifts</c:v>
                </c:pt>
                <c:pt idx="4">
                  <c:v>Groceries</c:v>
                </c:pt>
                <c:pt idx="5">
                  <c:v>Home</c:v>
                </c:pt>
                <c:pt idx="6">
                  <c:v>Medical</c:v>
                </c:pt>
                <c:pt idx="7">
                  <c:v>Shopping</c:v>
                </c:pt>
                <c:pt idx="8">
                  <c:v>Transportation</c:v>
                </c:pt>
                <c:pt idx="9">
                  <c:v>Utilities</c:v>
                </c:pt>
                <c:pt idx="10">
                  <c:v>Misc</c:v>
                </c:pt>
              </c:strCache>
            </c:strRef>
          </c:cat>
          <c:val>
            <c:numRef>
              <c:f>Master!$E$8:$E$18</c:f>
              <c:numCache>
                <c:formatCode>"$"#,##0.00_);[Red]\("$"#,##0.00\)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D-4752-BF7C-9AA043D8D4C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12</xdr:row>
          <xdr:rowOff>133350</xdr:rowOff>
        </xdr:from>
        <xdr:to>
          <xdr:col>14</xdr:col>
          <xdr:colOff>654050</xdr:colOff>
          <xdr:row>13</xdr:row>
          <xdr:rowOff>190500</xdr:rowOff>
        </xdr:to>
        <xdr:sp macro="" textlink="">
          <xdr:nvSpPr>
            <xdr:cNvPr id="2052" name="CsvFilePathTxt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158750</xdr:colOff>
          <xdr:row>12</xdr:row>
          <xdr:rowOff>101600</xdr:rowOff>
        </xdr:from>
        <xdr:to>
          <xdr:col>16</xdr:col>
          <xdr:colOff>641350</xdr:colOff>
          <xdr:row>13</xdr:row>
          <xdr:rowOff>196850</xdr:rowOff>
        </xdr:to>
        <xdr:sp macro="" textlink="">
          <xdr:nvSpPr>
            <xdr:cNvPr id="2055" name="BrowseBtn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406400</xdr:colOff>
          <xdr:row>17</xdr:row>
          <xdr:rowOff>209550</xdr:rowOff>
        </xdr:from>
        <xdr:to>
          <xdr:col>11</xdr:col>
          <xdr:colOff>361950</xdr:colOff>
          <xdr:row>19</xdr:row>
          <xdr:rowOff>190500</xdr:rowOff>
        </xdr:to>
        <xdr:sp macro="" textlink="">
          <xdr:nvSpPr>
            <xdr:cNvPr id="2056" name="RunBtn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412044</xdr:colOff>
      <xdr:row>6</xdr:row>
      <xdr:rowOff>2820</xdr:rowOff>
    </xdr:from>
    <xdr:ext cx="802143" cy="43569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401711" y="1547987"/>
          <a:ext cx="802143" cy="4356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600">
              <a:solidFill>
                <a:schemeClr val="bg1"/>
              </a:solidFill>
              <a:latin typeface="游ゴシック" panose="020B0400000000000000" pitchFamily="50" charset="-128"/>
              <a:ea typeface="游ゴシック" panose="020B0400000000000000" pitchFamily="50" charset="-128"/>
              <a:cs typeface="Microsoft Sans Serif" panose="020B0604020202020204" pitchFamily="34" charset="0"/>
            </a:rPr>
            <a:t>Name:</a:t>
          </a:r>
          <a:endParaRPr kumimoji="1" lang="ja-JP" altLang="en-US" sz="1600">
            <a:solidFill>
              <a:schemeClr val="bg1"/>
            </a:solidFill>
            <a:latin typeface="游ゴシック" panose="020B0400000000000000" pitchFamily="50" charset="-128"/>
            <a:ea typeface="游ゴシック" panose="020B0400000000000000" pitchFamily="50" charset="-128"/>
            <a:cs typeface="Microsoft Sans Serif" panose="020B0604020202020204" pitchFamily="34" charset="0"/>
          </a:endParaRPr>
        </a:p>
      </xdr:txBody>
    </xdr:sp>
    <xdr:clientData/>
  </xdr:oneCellAnchor>
  <xdr:oneCellAnchor>
    <xdr:from>
      <xdr:col>2</xdr:col>
      <xdr:colOff>322439</xdr:colOff>
      <xdr:row>12</xdr:row>
      <xdr:rowOff>95251</xdr:rowOff>
    </xdr:from>
    <xdr:ext cx="1550296" cy="43569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1648883" y="2995084"/>
          <a:ext cx="1550296" cy="4356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600">
              <a:solidFill>
                <a:schemeClr val="bg1"/>
              </a:solidFill>
              <a:latin typeface="+mn-ea"/>
              <a:ea typeface="+mn-ea"/>
              <a:cs typeface="Microsoft Sans Serif" panose="020B0604020202020204" pitchFamily="34" charset="0"/>
            </a:rPr>
            <a:t>CSV File Path:</a:t>
          </a:r>
          <a:endParaRPr kumimoji="1" lang="ja-JP" altLang="en-US" sz="1600">
            <a:solidFill>
              <a:schemeClr val="bg1"/>
            </a:solidFill>
            <a:latin typeface="+mn-ea"/>
            <a:ea typeface="+mn-ea"/>
            <a:cs typeface="Microsoft Sans Serif" panose="020B0604020202020204" pitchFamily="34" charset="0"/>
          </a:endParaRPr>
        </a:p>
      </xdr:txBody>
    </xdr:sp>
    <xdr:clientData/>
  </xdr:oneCellAnchor>
  <xdr:oneCellAnchor>
    <xdr:from>
      <xdr:col>2</xdr:col>
      <xdr:colOff>585611</xdr:colOff>
      <xdr:row>9</xdr:row>
      <xdr:rowOff>43039</xdr:rowOff>
    </xdr:from>
    <xdr:ext cx="1323054" cy="43569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912055" y="2265539"/>
          <a:ext cx="1323054" cy="4356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600">
              <a:solidFill>
                <a:schemeClr val="bg1"/>
              </a:solidFill>
              <a:latin typeface="+mn-ea"/>
              <a:ea typeface="+mn-ea"/>
              <a:cs typeface="Microsoft Sans Serif" panose="020B0604020202020204" pitchFamily="34" charset="0"/>
            </a:rPr>
            <a:t>Credit</a:t>
          </a:r>
          <a:r>
            <a:rPr kumimoji="1" lang="en-US" altLang="ja-JP" sz="1600" baseline="0">
              <a:solidFill>
                <a:schemeClr val="bg1"/>
              </a:solidFill>
              <a:latin typeface="+mn-ea"/>
              <a:ea typeface="+mn-ea"/>
              <a:cs typeface="Microsoft Sans Serif" panose="020B0604020202020204" pitchFamily="34" charset="0"/>
            </a:rPr>
            <a:t> Card</a:t>
          </a:r>
          <a:r>
            <a:rPr kumimoji="1" lang="en-US" altLang="ja-JP" sz="1600">
              <a:solidFill>
                <a:schemeClr val="bg1"/>
              </a:solidFill>
              <a:latin typeface="+mn-ea"/>
              <a:ea typeface="+mn-ea"/>
              <a:cs typeface="Microsoft Sans Serif" panose="020B0604020202020204" pitchFamily="34" charset="0"/>
            </a:rPr>
            <a:t>:</a:t>
          </a:r>
          <a:endParaRPr kumimoji="1" lang="ja-JP" altLang="en-US" sz="1600">
            <a:solidFill>
              <a:schemeClr val="bg1"/>
            </a:solidFill>
            <a:latin typeface="+mn-ea"/>
            <a:ea typeface="+mn-ea"/>
            <a:cs typeface="Microsoft Sans Serif" panose="020B060402020202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596900</xdr:colOff>
          <xdr:row>6</xdr:row>
          <xdr:rowOff>82550</xdr:rowOff>
        </xdr:from>
        <xdr:to>
          <xdr:col>8</xdr:col>
          <xdr:colOff>127000</xdr:colOff>
          <xdr:row>7</xdr:row>
          <xdr:rowOff>133350</xdr:rowOff>
        </xdr:to>
        <xdr:sp macro="" textlink="">
          <xdr:nvSpPr>
            <xdr:cNvPr id="2071" name="NameCmb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9</xdr:row>
          <xdr:rowOff>76200</xdr:rowOff>
        </xdr:from>
        <xdr:to>
          <xdr:col>8</xdr:col>
          <xdr:colOff>120650</xdr:colOff>
          <xdr:row>10</xdr:row>
          <xdr:rowOff>133350</xdr:rowOff>
        </xdr:to>
        <xdr:sp macro="" textlink="">
          <xdr:nvSpPr>
            <xdr:cNvPr id="2072" name="CardCmb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7</xdr:col>
      <xdr:colOff>176389</xdr:colOff>
      <xdr:row>0</xdr:row>
      <xdr:rowOff>331611</xdr:rowOff>
    </xdr:from>
    <xdr:ext cx="5189241" cy="95070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818945" y="331611"/>
          <a:ext cx="5189241" cy="95070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4000">
              <a:solidFill>
                <a:schemeClr val="accent2">
                  <a:lumMod val="75000"/>
                </a:schemeClr>
              </a:solidFill>
              <a:latin typeface="+mn-ea"/>
              <a:ea typeface="+mn-ea"/>
            </a:rPr>
            <a:t>Auto Monthly Budget</a:t>
          </a:r>
          <a:endParaRPr kumimoji="1" lang="ja-JP" altLang="en-US" sz="1200">
            <a:solidFill>
              <a:schemeClr val="accent2">
                <a:lumMod val="75000"/>
              </a:schemeClr>
            </a:solidFill>
            <a:latin typeface="+mn-ea"/>
            <a:ea typeface="+mn-ea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19</xdr:row>
      <xdr:rowOff>193674</xdr:rowOff>
    </xdr:from>
    <xdr:to>
      <xdr:col>5</xdr:col>
      <xdr:colOff>12700</xdr:colOff>
      <xdr:row>37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5F9E6-D503-4DEE-9D91-94B961262807}">
  <sheetPr codeName="Sheet2"/>
  <dimension ref="A1"/>
  <sheetViews>
    <sheetView showGridLines="0" tabSelected="1" zoomScale="90" zoomScaleNormal="90" workbookViewId="0"/>
  </sheetViews>
  <sheetFormatPr defaultRowHeight="18" customHeight="1" x14ac:dyDescent="0.55000000000000004"/>
  <cols>
    <col min="1" max="16384" width="8.6640625" style="43"/>
  </cols>
  <sheetData>
    <row r="1" spans="1:1" s="44" customFormat="1" ht="32.5" customHeight="1" x14ac:dyDescent="0.55000000000000004">
      <c r="A1" s="34"/>
    </row>
  </sheetData>
  <dataConsolidate link="1"/>
  <phoneticPr fontId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72" r:id="rId4" name="CardCmb">
          <controlPr defaultSize="0" autoLine="0" r:id="rId5">
            <anchor moveWithCells="1">
              <from>
                <xdr:col>4</xdr:col>
                <xdr:colOff>590550</xdr:colOff>
                <xdr:row>9</xdr:row>
                <xdr:rowOff>76200</xdr:rowOff>
              </from>
              <to>
                <xdr:col>8</xdr:col>
                <xdr:colOff>120650</xdr:colOff>
                <xdr:row>10</xdr:row>
                <xdr:rowOff>133350</xdr:rowOff>
              </to>
            </anchor>
          </controlPr>
        </control>
      </mc:Choice>
      <mc:Fallback>
        <control shapeId="2072" r:id="rId4" name="CardCmb"/>
      </mc:Fallback>
    </mc:AlternateContent>
    <mc:AlternateContent xmlns:mc="http://schemas.openxmlformats.org/markup-compatibility/2006">
      <mc:Choice Requires="x14">
        <control shapeId="2071" r:id="rId6" name="NameCmb">
          <controlPr defaultSize="0" autoLine="0" r:id="rId7">
            <anchor moveWithCells="1">
              <from>
                <xdr:col>4</xdr:col>
                <xdr:colOff>596900</xdr:colOff>
                <xdr:row>6</xdr:row>
                <xdr:rowOff>82550</xdr:rowOff>
              </from>
              <to>
                <xdr:col>8</xdr:col>
                <xdr:colOff>127000</xdr:colOff>
                <xdr:row>7</xdr:row>
                <xdr:rowOff>133350</xdr:rowOff>
              </to>
            </anchor>
          </controlPr>
        </control>
      </mc:Choice>
      <mc:Fallback>
        <control shapeId="2071" r:id="rId6" name="NameCmb"/>
      </mc:Fallback>
    </mc:AlternateContent>
    <mc:AlternateContent xmlns:mc="http://schemas.openxmlformats.org/markup-compatibility/2006">
      <mc:Choice Requires="x14">
        <control shapeId="2056" r:id="rId8" name="RunBtn">
          <controlPr defaultSize="0" autoLine="0" autoPict="0" r:id="rId9">
            <anchor moveWithCells="1">
              <from>
                <xdr:col>9</xdr:col>
                <xdr:colOff>406400</xdr:colOff>
                <xdr:row>17</xdr:row>
                <xdr:rowOff>209550</xdr:rowOff>
              </from>
              <to>
                <xdr:col>11</xdr:col>
                <xdr:colOff>361950</xdr:colOff>
                <xdr:row>19</xdr:row>
                <xdr:rowOff>190500</xdr:rowOff>
              </to>
            </anchor>
          </controlPr>
        </control>
      </mc:Choice>
      <mc:Fallback>
        <control shapeId="2056" r:id="rId8" name="RunBtn"/>
      </mc:Fallback>
    </mc:AlternateContent>
    <mc:AlternateContent xmlns:mc="http://schemas.openxmlformats.org/markup-compatibility/2006">
      <mc:Choice Requires="x14">
        <control shapeId="2055" r:id="rId10" name="BrowseBtn">
          <controlPr defaultSize="0" autoLine="0" autoPict="0" r:id="rId11">
            <anchor moveWithCells="1">
              <from>
                <xdr:col>15</xdr:col>
                <xdr:colOff>158750</xdr:colOff>
                <xdr:row>12</xdr:row>
                <xdr:rowOff>101600</xdr:rowOff>
              </from>
              <to>
                <xdr:col>16</xdr:col>
                <xdr:colOff>641350</xdr:colOff>
                <xdr:row>13</xdr:row>
                <xdr:rowOff>196850</xdr:rowOff>
              </to>
            </anchor>
          </controlPr>
        </control>
      </mc:Choice>
      <mc:Fallback>
        <control shapeId="2055" r:id="rId10" name="BrowseBtn"/>
      </mc:Fallback>
    </mc:AlternateContent>
    <mc:AlternateContent xmlns:mc="http://schemas.openxmlformats.org/markup-compatibility/2006">
      <mc:Choice Requires="x14">
        <control shapeId="2052" r:id="rId12" name="CsvFilePathTxt">
          <controlPr defaultSize="0" autoLine="0" r:id="rId13">
            <anchor moveWithCells="1">
              <from>
                <xdr:col>4</xdr:col>
                <xdr:colOff>571500</xdr:colOff>
                <xdr:row>12</xdr:row>
                <xdr:rowOff>133350</xdr:rowOff>
              </from>
              <to>
                <xdr:col>14</xdr:col>
                <xdr:colOff>654050</xdr:colOff>
                <xdr:row>13</xdr:row>
                <xdr:rowOff>190500</xdr:rowOff>
              </to>
            </anchor>
          </controlPr>
        </control>
      </mc:Choice>
      <mc:Fallback>
        <control shapeId="2052" r:id="rId12" name="CsvFilePathTx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37758-DEA4-4EB7-BE19-987917DD3D8C}">
  <sheetPr codeName="Sheet1"/>
  <dimension ref="A1:L113"/>
  <sheetViews>
    <sheetView zoomScale="90" zoomScaleNormal="90" workbookViewId="0">
      <selection activeCell="F6" sqref="F6"/>
    </sheetView>
  </sheetViews>
  <sheetFormatPr defaultRowHeight="18" x14ac:dyDescent="0.55000000000000004"/>
  <cols>
    <col min="1" max="1" width="5.83203125" customWidth="1"/>
    <col min="2" max="2" width="17.5" customWidth="1"/>
    <col min="3" max="3" width="14.4140625" customWidth="1"/>
    <col min="4" max="4" width="13.75" customWidth="1"/>
    <col min="5" max="5" width="14.25" customWidth="1"/>
    <col min="6" max="6" width="7.08203125" customWidth="1"/>
    <col min="7" max="7" width="11" customWidth="1"/>
    <col min="8" max="8" width="10" bestFit="1" customWidth="1"/>
    <col min="9" max="9" width="48.1640625" customWidth="1"/>
    <col min="10" max="10" width="12.1640625" customWidth="1"/>
    <col min="11" max="11" width="13.6640625" customWidth="1"/>
    <col min="12" max="12" width="41.9140625" customWidth="1"/>
    <col min="13" max="13" width="10.08203125" customWidth="1"/>
    <col min="14" max="14" width="13.08203125" customWidth="1"/>
    <col min="15" max="15" width="31.75" customWidth="1"/>
    <col min="16" max="16" width="10.75" customWidth="1"/>
    <col min="17" max="17" width="11.4140625" customWidth="1"/>
  </cols>
  <sheetData>
    <row r="1" spans="1:12" s="19" customFormat="1" ht="32.5" x14ac:dyDescent="0.55000000000000004">
      <c r="A1" s="34" t="s">
        <v>26</v>
      </c>
      <c r="B1" s="33"/>
      <c r="C1" s="32"/>
      <c r="D1" s="32"/>
      <c r="E1" s="32"/>
      <c r="F1" s="32"/>
      <c r="G1" s="32"/>
      <c r="H1" s="32"/>
      <c r="I1" s="32"/>
      <c r="J1" s="32"/>
      <c r="K1" s="32"/>
      <c r="L1" s="32"/>
    </row>
    <row r="2" spans="1:12" s="19" customFormat="1" ht="19.5" customHeight="1" x14ac:dyDescent="0.55000000000000004">
      <c r="B2" s="18"/>
    </row>
    <row r="3" spans="1:12" ht="23.5" customHeight="1" thickBot="1" x14ac:dyDescent="0.6">
      <c r="B3" s="20" t="s">
        <v>21</v>
      </c>
      <c r="G3" s="20" t="s">
        <v>0</v>
      </c>
    </row>
    <row r="4" spans="1:12" ht="18.5" thickBot="1" x14ac:dyDescent="0.6">
      <c r="B4" s="12"/>
      <c r="C4" s="13" t="str">
        <f>List!B2</f>
        <v>Person1</v>
      </c>
      <c r="D4" s="14" t="str">
        <f>List!B3</f>
        <v>Person2</v>
      </c>
      <c r="E4" s="15" t="s">
        <v>19</v>
      </c>
      <c r="G4" s="21" t="s">
        <v>1</v>
      </c>
      <c r="H4" s="22" t="s">
        <v>2</v>
      </c>
      <c r="I4" s="22" t="s">
        <v>3</v>
      </c>
      <c r="J4" s="22" t="s">
        <v>5</v>
      </c>
      <c r="K4" s="40" t="s">
        <v>4</v>
      </c>
      <c r="L4" s="23" t="s">
        <v>28</v>
      </c>
    </row>
    <row r="5" spans="1:12" ht="20" x14ac:dyDescent="0.55000000000000004">
      <c r="B5" s="8" t="s">
        <v>6</v>
      </c>
      <c r="C5" s="11">
        <f>SUMIF(J5:J14, C4,H5:H14)</f>
        <v>0</v>
      </c>
      <c r="D5" s="11">
        <f>SUMIF(J5:J14, D4,H5:H14)</f>
        <v>0</v>
      </c>
      <c r="E5" s="27">
        <f>C5+D5</f>
        <v>0</v>
      </c>
      <c r="G5" s="25"/>
      <c r="H5" s="2"/>
      <c r="I5" s="1"/>
      <c r="J5" s="1"/>
      <c r="K5" s="41"/>
      <c r="L5" s="3"/>
    </row>
    <row r="6" spans="1:12" ht="20" x14ac:dyDescent="0.55000000000000004">
      <c r="B6" s="9" t="s">
        <v>7</v>
      </c>
      <c r="C6" s="11">
        <f>SUMIF(J18:J113, C4,H18:H113)</f>
        <v>0</v>
      </c>
      <c r="D6" s="11">
        <f>SUMIF(J18:J113, D4,H18:H113)</f>
        <v>0</v>
      </c>
      <c r="E6" s="28">
        <f>C6+D6</f>
        <v>0</v>
      </c>
      <c r="G6" s="25"/>
      <c r="H6" s="2"/>
      <c r="I6" s="1"/>
      <c r="J6" s="1"/>
      <c r="K6" s="41"/>
      <c r="L6" s="3"/>
    </row>
    <row r="7" spans="1:12" ht="20.5" thickBot="1" x14ac:dyDescent="0.6">
      <c r="B7" s="10" t="s">
        <v>18</v>
      </c>
      <c r="C7" s="29">
        <f>C5-C6</f>
        <v>0</v>
      </c>
      <c r="D7" s="30">
        <f>D5-D6</f>
        <v>0</v>
      </c>
      <c r="E7" s="31">
        <f>E5-E6</f>
        <v>0</v>
      </c>
      <c r="G7" s="25"/>
      <c r="H7" s="2"/>
      <c r="I7" s="1"/>
      <c r="J7" s="1"/>
      <c r="K7" s="41"/>
      <c r="L7" s="3"/>
    </row>
    <row r="8" spans="1:12" ht="18.5" thickTop="1" x14ac:dyDescent="0.55000000000000004">
      <c r="B8" s="16" t="str">
        <f>List!A2</f>
        <v>Car</v>
      </c>
      <c r="C8" s="6">
        <f>SUMIFS(H18:H113,J18:J113,C4,K18:K113,B8)</f>
        <v>0</v>
      </c>
      <c r="D8" s="36">
        <f>SUMIFS(H18:H113,J18:J113,D4,K18:K113,B8)</f>
        <v>0</v>
      </c>
      <c r="E8" s="35">
        <f t="shared" ref="E8:E16" si="0">C8+D8</f>
        <v>0</v>
      </c>
      <c r="G8" s="25"/>
      <c r="H8" s="2"/>
      <c r="I8" s="1"/>
      <c r="J8" s="1"/>
      <c r="K8" s="41"/>
      <c r="L8" s="3"/>
    </row>
    <row r="9" spans="1:12" x14ac:dyDescent="0.55000000000000004">
      <c r="B9" s="16" t="str">
        <f>List!A3</f>
        <v>Debt</v>
      </c>
      <c r="C9" s="7">
        <f>SUMIFS(H18:H113,J18:J113,C4,K18:K113,B9)</f>
        <v>0</v>
      </c>
      <c r="D9" s="36">
        <f>SUMIFS(H18:H113,J18:J113,D4,K18:K113,B9)</f>
        <v>0</v>
      </c>
      <c r="E9" s="35">
        <f t="shared" si="0"/>
        <v>0</v>
      </c>
      <c r="G9" s="25"/>
      <c r="H9" s="2"/>
      <c r="I9" s="1"/>
      <c r="J9" s="1"/>
      <c r="K9" s="41"/>
      <c r="L9" s="3"/>
    </row>
    <row r="10" spans="1:12" x14ac:dyDescent="0.55000000000000004">
      <c r="B10" s="16" t="str">
        <f>List!A4</f>
        <v>Food</v>
      </c>
      <c r="C10" s="7">
        <f>SUMIFS(H18:H113,J18:J113,C4,K18:K113,B10)</f>
        <v>0</v>
      </c>
      <c r="D10" s="36">
        <f>SUMIFS(H18:H113,J18:J113,D4,K18:K113,B10)</f>
        <v>0</v>
      </c>
      <c r="E10" s="35">
        <f t="shared" si="0"/>
        <v>0</v>
      </c>
      <c r="G10" s="25"/>
      <c r="H10" s="2"/>
      <c r="I10" s="1"/>
      <c r="J10" s="1"/>
      <c r="K10" s="41"/>
      <c r="L10" s="3"/>
    </row>
    <row r="11" spans="1:12" x14ac:dyDescent="0.55000000000000004">
      <c r="B11" s="16" t="str">
        <f>List!A5</f>
        <v>Gifts</v>
      </c>
      <c r="C11" s="7">
        <f>SUMIFS(H18:H113,J18:J113,C4,K18:K113,B11)</f>
        <v>0</v>
      </c>
      <c r="D11" s="36">
        <f>SUMIFS(H18:H113,J18:J113,D4,K18:K113,B11)</f>
        <v>0</v>
      </c>
      <c r="E11" s="35">
        <f t="shared" si="0"/>
        <v>0</v>
      </c>
      <c r="G11" s="25"/>
      <c r="H11" s="2"/>
      <c r="I11" s="1"/>
      <c r="J11" s="1"/>
      <c r="K11" s="41"/>
      <c r="L11" s="3"/>
    </row>
    <row r="12" spans="1:12" x14ac:dyDescent="0.55000000000000004">
      <c r="B12" s="16" t="str">
        <f>List!A6</f>
        <v>Groceries</v>
      </c>
      <c r="C12" s="7">
        <f>SUMIFS(H18:H113,J18:J113,C4,K18:K113,B12)</f>
        <v>0</v>
      </c>
      <c r="D12" s="36">
        <f>SUMIFS(H18:H113,J18:J113,D4,K18:K113,B12)</f>
        <v>0</v>
      </c>
      <c r="E12" s="35">
        <f t="shared" si="0"/>
        <v>0</v>
      </c>
      <c r="G12" s="25"/>
      <c r="H12" s="2"/>
      <c r="I12" s="1"/>
      <c r="J12" s="1"/>
      <c r="K12" s="41"/>
      <c r="L12" s="3"/>
    </row>
    <row r="13" spans="1:12" x14ac:dyDescent="0.55000000000000004">
      <c r="B13" s="16" t="str">
        <f>List!A7</f>
        <v>Home</v>
      </c>
      <c r="C13" s="7">
        <f>SUMIFS(H18:H113,J18:J113,C4,K18:K113,B13)</f>
        <v>0</v>
      </c>
      <c r="D13" s="36">
        <f>SUMIFS(H18:H113,J18:J113,D4,K18:K113,B13)</f>
        <v>0</v>
      </c>
      <c r="E13" s="35">
        <f t="shared" si="0"/>
        <v>0</v>
      </c>
      <c r="G13" s="25"/>
      <c r="H13" s="2"/>
      <c r="I13" s="1"/>
      <c r="J13" s="1"/>
      <c r="K13" s="41"/>
      <c r="L13" s="3"/>
    </row>
    <row r="14" spans="1:12" ht="18.5" thickBot="1" x14ac:dyDescent="0.6">
      <c r="B14" s="16" t="str">
        <f>List!A8</f>
        <v>Medical</v>
      </c>
      <c r="C14" s="7">
        <f>SUMIFS(H18:H113,J18:J113,C4,K18:K113,B14)</f>
        <v>0</v>
      </c>
      <c r="D14" s="36">
        <f>SUMIFS(H18:H113,J18:J113,D4,K18:K113,B14)</f>
        <v>0</v>
      </c>
      <c r="E14" s="35">
        <f t="shared" si="0"/>
        <v>0</v>
      </c>
      <c r="G14" s="26"/>
      <c r="H14" s="24"/>
      <c r="I14" s="4"/>
      <c r="J14" s="4"/>
      <c r="K14" s="42"/>
      <c r="L14" s="5"/>
    </row>
    <row r="15" spans="1:12" x14ac:dyDescent="0.55000000000000004">
      <c r="B15" s="16" t="str">
        <f>List!A9</f>
        <v>Shopping</v>
      </c>
      <c r="C15" s="7">
        <f>SUMIFS(H18:H113,J18:J113,C4,K18:K113,B15)</f>
        <v>0</v>
      </c>
      <c r="D15" s="36">
        <f>SUMIFS(H18:H113,J18:J113,D4,K18:K113,B15)</f>
        <v>0</v>
      </c>
      <c r="E15" s="35">
        <f t="shared" si="0"/>
        <v>0</v>
      </c>
    </row>
    <row r="16" spans="1:12" ht="29.5" thickBot="1" x14ac:dyDescent="0.6">
      <c r="B16" s="16" t="str">
        <f>List!A10</f>
        <v>Transportation</v>
      </c>
      <c r="C16" s="7">
        <f>SUMIFS(H18:H113,J18:J113,C4,K18:K113,B16)</f>
        <v>0</v>
      </c>
      <c r="D16" s="36">
        <f>SUMIFS(H18:H113,J18:J113,D4,K18:K113,B16)</f>
        <v>0</v>
      </c>
      <c r="E16" s="35">
        <f t="shared" si="0"/>
        <v>0</v>
      </c>
      <c r="G16" s="20" t="s">
        <v>20</v>
      </c>
    </row>
    <row r="17" spans="2:12" x14ac:dyDescent="0.55000000000000004">
      <c r="B17" s="16" t="str">
        <f>List!A11</f>
        <v>Utilities</v>
      </c>
      <c r="C17" s="7">
        <f>SUMIFS(H18:H113,J18:J113,C4,K18:K113,B17)</f>
        <v>0</v>
      </c>
      <c r="D17" s="36">
        <f>SUMIFS(H18:H113,J18:J113,D4,K18:K113,B17)</f>
        <v>0</v>
      </c>
      <c r="E17" s="35">
        <f>C17+D17</f>
        <v>0</v>
      </c>
      <c r="G17" s="21" t="s">
        <v>1</v>
      </c>
      <c r="H17" s="22" t="s">
        <v>2</v>
      </c>
      <c r="I17" s="22" t="s">
        <v>3</v>
      </c>
      <c r="J17" s="22" t="s">
        <v>32</v>
      </c>
      <c r="K17" s="40" t="s">
        <v>4</v>
      </c>
      <c r="L17" s="23" t="s">
        <v>28</v>
      </c>
    </row>
    <row r="18" spans="2:12" ht="18.5" thickBot="1" x14ac:dyDescent="0.6">
      <c r="B18" s="17" t="str">
        <f>List!A12</f>
        <v>Misc</v>
      </c>
      <c r="C18" s="37">
        <f>SUMIFS(H18:H113,J18:J113,C4,K18:K113,B18)</f>
        <v>0</v>
      </c>
      <c r="D18" s="38">
        <f>SUMIFS(H18:H113,J18:J113,D4,K18:K113,B18)</f>
        <v>0</v>
      </c>
      <c r="E18" s="39">
        <f>C18+D18</f>
        <v>0</v>
      </c>
      <c r="G18" s="25"/>
      <c r="H18" s="2"/>
      <c r="I18" s="1"/>
      <c r="J18" s="1"/>
      <c r="K18" s="41"/>
      <c r="L18" s="3"/>
    </row>
    <row r="19" spans="2:12" x14ac:dyDescent="0.55000000000000004">
      <c r="G19" s="25"/>
      <c r="H19" s="2"/>
      <c r="I19" s="1"/>
      <c r="J19" s="1"/>
      <c r="K19" s="41"/>
      <c r="L19" s="3"/>
    </row>
    <row r="20" spans="2:12" x14ac:dyDescent="0.55000000000000004">
      <c r="G20" s="25"/>
      <c r="H20" s="2"/>
      <c r="I20" s="1"/>
      <c r="J20" s="1"/>
      <c r="K20" s="41"/>
      <c r="L20" s="3"/>
    </row>
    <row r="21" spans="2:12" x14ac:dyDescent="0.55000000000000004">
      <c r="G21" s="25"/>
      <c r="H21" s="2"/>
      <c r="I21" s="1"/>
      <c r="J21" s="1"/>
      <c r="K21" s="41"/>
      <c r="L21" s="3"/>
    </row>
    <row r="22" spans="2:12" x14ac:dyDescent="0.55000000000000004">
      <c r="G22" s="25"/>
      <c r="H22" s="2"/>
      <c r="I22" s="1"/>
      <c r="J22" s="1"/>
      <c r="K22" s="41"/>
      <c r="L22" s="3"/>
    </row>
    <row r="23" spans="2:12" x14ac:dyDescent="0.55000000000000004">
      <c r="G23" s="25"/>
      <c r="H23" s="2"/>
      <c r="I23" s="1"/>
      <c r="J23" s="1"/>
      <c r="K23" s="41"/>
      <c r="L23" s="3"/>
    </row>
    <row r="24" spans="2:12" x14ac:dyDescent="0.55000000000000004">
      <c r="G24" s="25"/>
      <c r="H24" s="2"/>
      <c r="I24" s="1"/>
      <c r="J24" s="1"/>
      <c r="K24" s="41"/>
      <c r="L24" s="3"/>
    </row>
    <row r="25" spans="2:12" x14ac:dyDescent="0.55000000000000004">
      <c r="G25" s="25"/>
      <c r="H25" s="2"/>
      <c r="I25" s="1"/>
      <c r="J25" s="1"/>
      <c r="K25" s="41"/>
      <c r="L25" s="3"/>
    </row>
    <row r="26" spans="2:12" x14ac:dyDescent="0.55000000000000004">
      <c r="G26" s="25"/>
      <c r="H26" s="2"/>
      <c r="I26" s="1"/>
      <c r="J26" s="1"/>
      <c r="K26" s="41"/>
      <c r="L26" s="3"/>
    </row>
    <row r="27" spans="2:12" x14ac:dyDescent="0.55000000000000004">
      <c r="G27" s="25"/>
      <c r="H27" s="2"/>
      <c r="I27" s="1"/>
      <c r="J27" s="1"/>
      <c r="K27" s="41"/>
      <c r="L27" s="3"/>
    </row>
    <row r="28" spans="2:12" x14ac:dyDescent="0.55000000000000004">
      <c r="G28" s="25"/>
      <c r="H28" s="2"/>
      <c r="I28" s="1"/>
      <c r="J28" s="1"/>
      <c r="K28" s="41"/>
      <c r="L28" s="3"/>
    </row>
    <row r="29" spans="2:12" x14ac:dyDescent="0.55000000000000004">
      <c r="G29" s="25"/>
      <c r="H29" s="2"/>
      <c r="I29" s="1"/>
      <c r="J29" s="1"/>
      <c r="K29" s="41"/>
      <c r="L29" s="3"/>
    </row>
    <row r="30" spans="2:12" x14ac:dyDescent="0.55000000000000004">
      <c r="G30" s="25"/>
      <c r="H30" s="2"/>
      <c r="I30" s="1"/>
      <c r="J30" s="1"/>
      <c r="K30" s="41"/>
      <c r="L30" s="3"/>
    </row>
    <row r="31" spans="2:12" x14ac:dyDescent="0.55000000000000004">
      <c r="G31" s="25"/>
      <c r="H31" s="2"/>
      <c r="I31" s="1"/>
      <c r="J31" s="1"/>
      <c r="K31" s="41"/>
      <c r="L31" s="3"/>
    </row>
    <row r="32" spans="2:12" x14ac:dyDescent="0.55000000000000004">
      <c r="G32" s="25"/>
      <c r="H32" s="2"/>
      <c r="I32" s="1"/>
      <c r="J32" s="1"/>
      <c r="K32" s="41"/>
      <c r="L32" s="3"/>
    </row>
    <row r="33" spans="7:12" x14ac:dyDescent="0.55000000000000004">
      <c r="G33" s="25"/>
      <c r="H33" s="2"/>
      <c r="I33" s="1"/>
      <c r="J33" s="1"/>
      <c r="K33" s="41"/>
      <c r="L33" s="3"/>
    </row>
    <row r="34" spans="7:12" x14ac:dyDescent="0.55000000000000004">
      <c r="G34" s="25"/>
      <c r="H34" s="2"/>
      <c r="I34" s="1"/>
      <c r="J34" s="1"/>
      <c r="K34" s="41"/>
      <c r="L34" s="3"/>
    </row>
    <row r="35" spans="7:12" x14ac:dyDescent="0.55000000000000004">
      <c r="G35" s="25"/>
      <c r="H35" s="2"/>
      <c r="I35" s="1"/>
      <c r="J35" s="1"/>
      <c r="K35" s="41"/>
      <c r="L35" s="3"/>
    </row>
    <row r="36" spans="7:12" x14ac:dyDescent="0.55000000000000004">
      <c r="G36" s="25"/>
      <c r="H36" s="2"/>
      <c r="I36" s="1"/>
      <c r="J36" s="1"/>
      <c r="K36" s="41"/>
      <c r="L36" s="3"/>
    </row>
    <row r="37" spans="7:12" x14ac:dyDescent="0.55000000000000004">
      <c r="G37" s="25"/>
      <c r="H37" s="2"/>
      <c r="I37" s="1"/>
      <c r="J37" s="1"/>
      <c r="K37" s="41"/>
      <c r="L37" s="3"/>
    </row>
    <row r="38" spans="7:12" x14ac:dyDescent="0.55000000000000004">
      <c r="G38" s="25"/>
      <c r="H38" s="2"/>
      <c r="I38" s="1"/>
      <c r="J38" s="1"/>
      <c r="K38" s="41"/>
      <c r="L38" s="3"/>
    </row>
    <row r="39" spans="7:12" x14ac:dyDescent="0.55000000000000004">
      <c r="G39" s="25"/>
      <c r="H39" s="2"/>
      <c r="I39" s="1"/>
      <c r="J39" s="1"/>
      <c r="K39" s="41"/>
      <c r="L39" s="3"/>
    </row>
    <row r="40" spans="7:12" x14ac:dyDescent="0.55000000000000004">
      <c r="G40" s="25"/>
      <c r="H40" s="2"/>
      <c r="I40" s="1"/>
      <c r="J40" s="1"/>
      <c r="K40" s="41"/>
      <c r="L40" s="3"/>
    </row>
    <row r="41" spans="7:12" x14ac:dyDescent="0.55000000000000004">
      <c r="G41" s="25"/>
      <c r="H41" s="2"/>
      <c r="I41" s="1"/>
      <c r="J41" s="1"/>
      <c r="K41" s="41"/>
      <c r="L41" s="3"/>
    </row>
    <row r="42" spans="7:12" x14ac:dyDescent="0.55000000000000004">
      <c r="G42" s="25"/>
      <c r="H42" s="2"/>
      <c r="I42" s="1"/>
      <c r="J42" s="1"/>
      <c r="K42" s="41"/>
      <c r="L42" s="3"/>
    </row>
    <row r="43" spans="7:12" x14ac:dyDescent="0.55000000000000004">
      <c r="G43" s="25"/>
      <c r="H43" s="2"/>
      <c r="I43" s="1"/>
      <c r="J43" s="1"/>
      <c r="K43" s="41"/>
      <c r="L43" s="3"/>
    </row>
    <row r="44" spans="7:12" x14ac:dyDescent="0.55000000000000004">
      <c r="G44" s="25"/>
      <c r="H44" s="2"/>
      <c r="I44" s="1"/>
      <c r="J44" s="1"/>
      <c r="K44" s="41"/>
      <c r="L44" s="3"/>
    </row>
    <row r="45" spans="7:12" x14ac:dyDescent="0.55000000000000004">
      <c r="G45" s="25"/>
      <c r="H45" s="2"/>
      <c r="I45" s="1"/>
      <c r="J45" s="1"/>
      <c r="K45" s="41"/>
      <c r="L45" s="3"/>
    </row>
    <row r="46" spans="7:12" x14ac:dyDescent="0.55000000000000004">
      <c r="G46" s="25"/>
      <c r="H46" s="2"/>
      <c r="I46" s="1"/>
      <c r="J46" s="1"/>
      <c r="K46" s="41"/>
      <c r="L46" s="3"/>
    </row>
    <row r="47" spans="7:12" x14ac:dyDescent="0.55000000000000004">
      <c r="G47" s="25"/>
      <c r="H47" s="2"/>
      <c r="I47" s="1"/>
      <c r="J47" s="1"/>
      <c r="K47" s="41"/>
      <c r="L47" s="3"/>
    </row>
    <row r="48" spans="7:12" x14ac:dyDescent="0.55000000000000004">
      <c r="G48" s="25"/>
      <c r="H48" s="2"/>
      <c r="I48" s="1"/>
      <c r="J48" s="1"/>
      <c r="K48" s="41"/>
      <c r="L48" s="3"/>
    </row>
    <row r="49" spans="7:12" x14ac:dyDescent="0.55000000000000004">
      <c r="G49" s="25"/>
      <c r="H49" s="2"/>
      <c r="I49" s="1"/>
      <c r="J49" s="1"/>
      <c r="K49" s="41"/>
      <c r="L49" s="3"/>
    </row>
    <row r="50" spans="7:12" x14ac:dyDescent="0.55000000000000004">
      <c r="G50" s="25"/>
      <c r="H50" s="2"/>
      <c r="I50" s="1"/>
      <c r="J50" s="1"/>
      <c r="K50" s="41"/>
      <c r="L50" s="3"/>
    </row>
    <row r="51" spans="7:12" x14ac:dyDescent="0.55000000000000004">
      <c r="G51" s="25"/>
      <c r="H51" s="2"/>
      <c r="I51" s="1"/>
      <c r="J51" s="1"/>
      <c r="K51" s="41"/>
      <c r="L51" s="3"/>
    </row>
    <row r="52" spans="7:12" x14ac:dyDescent="0.55000000000000004">
      <c r="G52" s="25"/>
      <c r="H52" s="2"/>
      <c r="I52" s="1"/>
      <c r="J52" s="1"/>
      <c r="K52" s="41"/>
      <c r="L52" s="3"/>
    </row>
    <row r="53" spans="7:12" x14ac:dyDescent="0.55000000000000004">
      <c r="G53" s="25"/>
      <c r="H53" s="2"/>
      <c r="I53" s="1"/>
      <c r="J53" s="1"/>
      <c r="K53" s="41"/>
      <c r="L53" s="3"/>
    </row>
    <row r="54" spans="7:12" x14ac:dyDescent="0.55000000000000004">
      <c r="G54" s="25"/>
      <c r="H54" s="2"/>
      <c r="I54" s="1"/>
      <c r="J54" s="1"/>
      <c r="K54" s="41"/>
      <c r="L54" s="3"/>
    </row>
    <row r="55" spans="7:12" x14ac:dyDescent="0.55000000000000004">
      <c r="G55" s="25"/>
      <c r="H55" s="2"/>
      <c r="I55" s="1"/>
      <c r="J55" s="1"/>
      <c r="K55" s="41"/>
      <c r="L55" s="3"/>
    </row>
    <row r="56" spans="7:12" x14ac:dyDescent="0.55000000000000004">
      <c r="G56" s="25"/>
      <c r="H56" s="2"/>
      <c r="I56" s="1"/>
      <c r="J56" s="1"/>
      <c r="K56" s="41"/>
      <c r="L56" s="3"/>
    </row>
    <row r="57" spans="7:12" x14ac:dyDescent="0.55000000000000004">
      <c r="G57" s="25"/>
      <c r="H57" s="2"/>
      <c r="I57" s="1"/>
      <c r="J57" s="1"/>
      <c r="K57" s="41"/>
      <c r="L57" s="3"/>
    </row>
    <row r="58" spans="7:12" x14ac:dyDescent="0.55000000000000004">
      <c r="G58" s="25"/>
      <c r="H58" s="2"/>
      <c r="I58" s="1"/>
      <c r="J58" s="1"/>
      <c r="K58" s="41"/>
      <c r="L58" s="3"/>
    </row>
    <row r="59" spans="7:12" x14ac:dyDescent="0.55000000000000004">
      <c r="G59" s="25"/>
      <c r="H59" s="2"/>
      <c r="I59" s="1"/>
      <c r="J59" s="1"/>
      <c r="K59" s="41"/>
      <c r="L59" s="3"/>
    </row>
    <row r="60" spans="7:12" x14ac:dyDescent="0.55000000000000004">
      <c r="G60" s="25"/>
      <c r="H60" s="2"/>
      <c r="I60" s="1"/>
      <c r="J60" s="1"/>
      <c r="K60" s="41"/>
      <c r="L60" s="3"/>
    </row>
    <row r="61" spans="7:12" x14ac:dyDescent="0.55000000000000004">
      <c r="G61" s="25"/>
      <c r="H61" s="2"/>
      <c r="I61" s="1"/>
      <c r="J61" s="1"/>
      <c r="K61" s="41"/>
      <c r="L61" s="3"/>
    </row>
    <row r="62" spans="7:12" x14ac:dyDescent="0.55000000000000004">
      <c r="G62" s="25"/>
      <c r="H62" s="2"/>
      <c r="I62" s="1"/>
      <c r="J62" s="1"/>
      <c r="K62" s="41"/>
      <c r="L62" s="3"/>
    </row>
    <row r="63" spans="7:12" x14ac:dyDescent="0.55000000000000004">
      <c r="G63" s="25"/>
      <c r="H63" s="2"/>
      <c r="I63" s="1"/>
      <c r="J63" s="1"/>
      <c r="K63" s="41"/>
      <c r="L63" s="3"/>
    </row>
    <row r="64" spans="7:12" x14ac:dyDescent="0.55000000000000004">
      <c r="G64" s="25"/>
      <c r="H64" s="2"/>
      <c r="I64" s="1"/>
      <c r="J64" s="1"/>
      <c r="K64" s="41"/>
      <c r="L64" s="3"/>
    </row>
    <row r="65" spans="7:12" x14ac:dyDescent="0.55000000000000004">
      <c r="G65" s="25"/>
      <c r="H65" s="2"/>
      <c r="I65" s="1"/>
      <c r="J65" s="1"/>
      <c r="K65" s="41"/>
      <c r="L65" s="3"/>
    </row>
    <row r="66" spans="7:12" x14ac:dyDescent="0.55000000000000004">
      <c r="G66" s="25"/>
      <c r="H66" s="2"/>
      <c r="I66" s="1"/>
      <c r="J66" s="1"/>
      <c r="K66" s="41"/>
      <c r="L66" s="3"/>
    </row>
    <row r="67" spans="7:12" x14ac:dyDescent="0.55000000000000004">
      <c r="G67" s="25"/>
      <c r="H67" s="2"/>
      <c r="I67" s="1"/>
      <c r="J67" s="1"/>
      <c r="K67" s="41"/>
      <c r="L67" s="3"/>
    </row>
    <row r="68" spans="7:12" x14ac:dyDescent="0.55000000000000004">
      <c r="G68" s="25"/>
      <c r="H68" s="2"/>
      <c r="I68" s="1"/>
      <c r="J68" s="1"/>
      <c r="K68" s="41"/>
      <c r="L68" s="3"/>
    </row>
    <row r="69" spans="7:12" x14ac:dyDescent="0.55000000000000004">
      <c r="G69" s="25"/>
      <c r="H69" s="2"/>
      <c r="I69" s="1"/>
      <c r="J69" s="1"/>
      <c r="K69" s="41"/>
      <c r="L69" s="3"/>
    </row>
    <row r="70" spans="7:12" x14ac:dyDescent="0.55000000000000004">
      <c r="G70" s="25"/>
      <c r="H70" s="2"/>
      <c r="I70" s="1"/>
      <c r="J70" s="1"/>
      <c r="K70" s="41"/>
      <c r="L70" s="3"/>
    </row>
    <row r="71" spans="7:12" x14ac:dyDescent="0.55000000000000004">
      <c r="G71" s="25"/>
      <c r="H71" s="2"/>
      <c r="I71" s="1"/>
      <c r="J71" s="1"/>
      <c r="K71" s="41"/>
      <c r="L71" s="3"/>
    </row>
    <row r="72" spans="7:12" x14ac:dyDescent="0.55000000000000004">
      <c r="G72" s="25"/>
      <c r="H72" s="2"/>
      <c r="I72" s="1"/>
      <c r="J72" s="1"/>
      <c r="K72" s="41"/>
      <c r="L72" s="3"/>
    </row>
    <row r="73" spans="7:12" x14ac:dyDescent="0.55000000000000004">
      <c r="G73" s="25"/>
      <c r="H73" s="2"/>
      <c r="I73" s="1"/>
      <c r="J73" s="1"/>
      <c r="K73" s="41"/>
      <c r="L73" s="3"/>
    </row>
    <row r="74" spans="7:12" x14ac:dyDescent="0.55000000000000004">
      <c r="G74" s="25"/>
      <c r="H74" s="2"/>
      <c r="I74" s="1"/>
      <c r="J74" s="1"/>
      <c r="K74" s="41"/>
      <c r="L74" s="3"/>
    </row>
    <row r="75" spans="7:12" x14ac:dyDescent="0.55000000000000004">
      <c r="G75" s="25"/>
      <c r="H75" s="2"/>
      <c r="I75" s="1"/>
      <c r="J75" s="1"/>
      <c r="K75" s="41"/>
      <c r="L75" s="3"/>
    </row>
    <row r="76" spans="7:12" x14ac:dyDescent="0.55000000000000004">
      <c r="G76" s="25"/>
      <c r="H76" s="2"/>
      <c r="I76" s="1"/>
      <c r="J76" s="1"/>
      <c r="K76" s="41"/>
      <c r="L76" s="3"/>
    </row>
    <row r="77" spans="7:12" x14ac:dyDescent="0.55000000000000004">
      <c r="G77" s="25"/>
      <c r="H77" s="2"/>
      <c r="I77" s="1"/>
      <c r="J77" s="1"/>
      <c r="K77" s="41"/>
      <c r="L77" s="3"/>
    </row>
    <row r="78" spans="7:12" x14ac:dyDescent="0.55000000000000004">
      <c r="G78" s="25"/>
      <c r="H78" s="2"/>
      <c r="I78" s="1"/>
      <c r="J78" s="1"/>
      <c r="K78" s="41"/>
      <c r="L78" s="3"/>
    </row>
    <row r="79" spans="7:12" x14ac:dyDescent="0.55000000000000004">
      <c r="G79" s="25"/>
      <c r="H79" s="2"/>
      <c r="I79" s="1"/>
      <c r="J79" s="1"/>
      <c r="K79" s="41"/>
      <c r="L79" s="3"/>
    </row>
    <row r="80" spans="7:12" x14ac:dyDescent="0.55000000000000004">
      <c r="G80" s="25"/>
      <c r="H80" s="2"/>
      <c r="I80" s="1"/>
      <c r="J80" s="1"/>
      <c r="K80" s="41"/>
      <c r="L80" s="3"/>
    </row>
    <row r="81" spans="7:12" x14ac:dyDescent="0.55000000000000004">
      <c r="G81" s="25"/>
      <c r="H81" s="2"/>
      <c r="I81" s="1"/>
      <c r="J81" s="1"/>
      <c r="K81" s="41"/>
      <c r="L81" s="3"/>
    </row>
    <row r="82" spans="7:12" x14ac:dyDescent="0.55000000000000004">
      <c r="G82" s="25"/>
      <c r="H82" s="2"/>
      <c r="I82" s="1"/>
      <c r="J82" s="1"/>
      <c r="K82" s="41"/>
      <c r="L82" s="3"/>
    </row>
    <row r="83" spans="7:12" x14ac:dyDescent="0.55000000000000004">
      <c r="G83" s="25"/>
      <c r="H83" s="2"/>
      <c r="I83" s="1"/>
      <c r="J83" s="1"/>
      <c r="K83" s="41"/>
      <c r="L83" s="3"/>
    </row>
    <row r="84" spans="7:12" x14ac:dyDescent="0.55000000000000004">
      <c r="G84" s="25"/>
      <c r="H84" s="2"/>
      <c r="I84" s="1"/>
      <c r="J84" s="1"/>
      <c r="K84" s="41"/>
      <c r="L84" s="3"/>
    </row>
    <row r="85" spans="7:12" x14ac:dyDescent="0.55000000000000004">
      <c r="G85" s="25"/>
      <c r="H85" s="2"/>
      <c r="I85" s="1"/>
      <c r="J85" s="1"/>
      <c r="K85" s="41"/>
      <c r="L85" s="3"/>
    </row>
    <row r="86" spans="7:12" x14ac:dyDescent="0.55000000000000004">
      <c r="G86" s="25"/>
      <c r="H86" s="2"/>
      <c r="I86" s="1"/>
      <c r="J86" s="1"/>
      <c r="K86" s="41"/>
      <c r="L86" s="3"/>
    </row>
    <row r="87" spans="7:12" x14ac:dyDescent="0.55000000000000004">
      <c r="G87" s="25"/>
      <c r="H87" s="2"/>
      <c r="I87" s="1"/>
      <c r="J87" s="1"/>
      <c r="K87" s="41"/>
      <c r="L87" s="3"/>
    </row>
    <row r="88" spans="7:12" x14ac:dyDescent="0.55000000000000004">
      <c r="G88" s="25"/>
      <c r="H88" s="2"/>
      <c r="I88" s="1"/>
      <c r="J88" s="1"/>
      <c r="K88" s="41"/>
      <c r="L88" s="3"/>
    </row>
    <row r="89" spans="7:12" x14ac:dyDescent="0.55000000000000004">
      <c r="G89" s="25"/>
      <c r="H89" s="2"/>
      <c r="I89" s="1"/>
      <c r="J89" s="1"/>
      <c r="K89" s="41"/>
      <c r="L89" s="3"/>
    </row>
    <row r="90" spans="7:12" x14ac:dyDescent="0.55000000000000004">
      <c r="G90" s="25"/>
      <c r="H90" s="2"/>
      <c r="I90" s="1"/>
      <c r="J90" s="1"/>
      <c r="K90" s="41"/>
      <c r="L90" s="3"/>
    </row>
    <row r="91" spans="7:12" x14ac:dyDescent="0.55000000000000004">
      <c r="G91" s="25"/>
      <c r="H91" s="2"/>
      <c r="I91" s="1"/>
      <c r="J91" s="1"/>
      <c r="K91" s="41"/>
      <c r="L91" s="3"/>
    </row>
    <row r="92" spans="7:12" x14ac:dyDescent="0.55000000000000004">
      <c r="G92" s="25"/>
      <c r="H92" s="2"/>
      <c r="I92" s="1"/>
      <c r="J92" s="1"/>
      <c r="K92" s="41"/>
      <c r="L92" s="3"/>
    </row>
    <row r="93" spans="7:12" x14ac:dyDescent="0.55000000000000004">
      <c r="G93" s="25"/>
      <c r="H93" s="2"/>
      <c r="I93" s="1"/>
      <c r="J93" s="1"/>
      <c r="K93" s="41"/>
      <c r="L93" s="3"/>
    </row>
    <row r="94" spans="7:12" x14ac:dyDescent="0.55000000000000004">
      <c r="G94" s="25"/>
      <c r="H94" s="2"/>
      <c r="I94" s="1"/>
      <c r="J94" s="1"/>
      <c r="K94" s="41"/>
      <c r="L94" s="3"/>
    </row>
    <row r="95" spans="7:12" x14ac:dyDescent="0.55000000000000004">
      <c r="G95" s="25"/>
      <c r="H95" s="2"/>
      <c r="I95" s="1"/>
      <c r="J95" s="1"/>
      <c r="K95" s="41"/>
      <c r="L95" s="3"/>
    </row>
    <row r="96" spans="7:12" x14ac:dyDescent="0.55000000000000004">
      <c r="G96" s="25"/>
      <c r="H96" s="2"/>
      <c r="I96" s="1"/>
      <c r="J96" s="1"/>
      <c r="K96" s="41"/>
      <c r="L96" s="3"/>
    </row>
    <row r="97" spans="7:12" x14ac:dyDescent="0.55000000000000004">
      <c r="G97" s="25"/>
      <c r="H97" s="2"/>
      <c r="I97" s="1"/>
      <c r="J97" s="1"/>
      <c r="K97" s="41"/>
      <c r="L97" s="3"/>
    </row>
    <row r="98" spans="7:12" x14ac:dyDescent="0.55000000000000004">
      <c r="G98" s="25"/>
      <c r="H98" s="2"/>
      <c r="I98" s="1"/>
      <c r="J98" s="1"/>
      <c r="K98" s="41"/>
      <c r="L98" s="3"/>
    </row>
    <row r="99" spans="7:12" x14ac:dyDescent="0.55000000000000004">
      <c r="G99" s="25"/>
      <c r="H99" s="2"/>
      <c r="I99" s="1"/>
      <c r="J99" s="1"/>
      <c r="K99" s="41"/>
      <c r="L99" s="3"/>
    </row>
    <row r="100" spans="7:12" x14ac:dyDescent="0.55000000000000004">
      <c r="G100" s="25"/>
      <c r="H100" s="2"/>
      <c r="I100" s="1"/>
      <c r="J100" s="1"/>
      <c r="K100" s="41"/>
      <c r="L100" s="3"/>
    </row>
    <row r="101" spans="7:12" x14ac:dyDescent="0.55000000000000004">
      <c r="G101" s="25"/>
      <c r="H101" s="2"/>
      <c r="I101" s="1"/>
      <c r="J101" s="1"/>
      <c r="K101" s="41"/>
      <c r="L101" s="3"/>
    </row>
    <row r="102" spans="7:12" x14ac:dyDescent="0.55000000000000004">
      <c r="G102" s="25"/>
      <c r="H102" s="2"/>
      <c r="I102" s="1"/>
      <c r="J102" s="1"/>
      <c r="K102" s="41"/>
      <c r="L102" s="3"/>
    </row>
    <row r="103" spans="7:12" x14ac:dyDescent="0.55000000000000004">
      <c r="G103" s="25"/>
      <c r="H103" s="2"/>
      <c r="I103" s="1"/>
      <c r="J103" s="1"/>
      <c r="K103" s="41"/>
      <c r="L103" s="3"/>
    </row>
    <row r="104" spans="7:12" x14ac:dyDescent="0.55000000000000004">
      <c r="G104" s="25"/>
      <c r="H104" s="2"/>
      <c r="I104" s="1"/>
      <c r="J104" s="1"/>
      <c r="K104" s="41"/>
      <c r="L104" s="3"/>
    </row>
    <row r="105" spans="7:12" x14ac:dyDescent="0.55000000000000004">
      <c r="G105" s="25"/>
      <c r="H105" s="2"/>
      <c r="I105" s="1"/>
      <c r="J105" s="1"/>
      <c r="K105" s="41"/>
      <c r="L105" s="3"/>
    </row>
    <row r="106" spans="7:12" x14ac:dyDescent="0.55000000000000004">
      <c r="G106" s="25"/>
      <c r="H106" s="2"/>
      <c r="I106" s="1"/>
      <c r="J106" s="1"/>
      <c r="K106" s="41"/>
      <c r="L106" s="3"/>
    </row>
    <row r="107" spans="7:12" x14ac:dyDescent="0.55000000000000004">
      <c r="G107" s="25"/>
      <c r="H107" s="2"/>
      <c r="I107" s="1"/>
      <c r="J107" s="1"/>
      <c r="K107" s="41"/>
      <c r="L107" s="3"/>
    </row>
    <row r="108" spans="7:12" x14ac:dyDescent="0.55000000000000004">
      <c r="G108" s="25"/>
      <c r="H108" s="2"/>
      <c r="I108" s="1"/>
      <c r="J108" s="1"/>
      <c r="K108" s="41"/>
      <c r="L108" s="3"/>
    </row>
    <row r="109" spans="7:12" x14ac:dyDescent="0.55000000000000004">
      <c r="G109" s="25"/>
      <c r="H109" s="2"/>
      <c r="I109" s="1"/>
      <c r="J109" s="1"/>
      <c r="K109" s="41"/>
      <c r="L109" s="3"/>
    </row>
    <row r="110" spans="7:12" x14ac:dyDescent="0.55000000000000004">
      <c r="G110" s="25"/>
      <c r="H110" s="2"/>
      <c r="I110" s="1"/>
      <c r="J110" s="1"/>
      <c r="K110" s="41"/>
      <c r="L110" s="3"/>
    </row>
    <row r="111" spans="7:12" x14ac:dyDescent="0.55000000000000004">
      <c r="G111" s="25"/>
      <c r="H111" s="2"/>
      <c r="I111" s="1"/>
      <c r="J111" s="1"/>
      <c r="K111" s="41"/>
      <c r="L111" s="3"/>
    </row>
    <row r="112" spans="7:12" x14ac:dyDescent="0.55000000000000004">
      <c r="G112" s="25"/>
      <c r="H112" s="2"/>
      <c r="I112" s="1"/>
      <c r="J112" s="1"/>
      <c r="K112" s="41"/>
      <c r="L112" s="3"/>
    </row>
    <row r="113" spans="7:12" ht="18.5" thickBot="1" x14ac:dyDescent="0.6">
      <c r="G113" s="26"/>
      <c r="H113" s="24"/>
      <c r="I113" s="4"/>
      <c r="J113" s="4"/>
      <c r="K113" s="42"/>
      <c r="L113" s="5"/>
    </row>
  </sheetData>
  <phoneticPr fontId="1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C051BC1-6C50-42F6-99D9-796200C3E41B}">
          <x14:formula1>
            <xm:f>List!$B$2:$B$3</xm:f>
          </x14:formula1>
          <xm:sqref>J18:J113 J5:J14</xm:sqref>
        </x14:dataValidation>
        <x14:dataValidation type="list" allowBlank="1" showInputMessage="1" showErrorMessage="1" xr:uid="{2DA5DB90-1A81-474D-B2E2-3511E9D8513A}">
          <x14:formula1>
            <xm:f>List!$C$2:$C$4</xm:f>
          </x14:formula1>
          <xm:sqref>K5:K14</xm:sqref>
        </x14:dataValidation>
        <x14:dataValidation type="list" allowBlank="1" showInputMessage="1" showErrorMessage="1" xr:uid="{14E574ED-5B0B-43A6-BB60-13C6E787C583}">
          <x14:formula1>
            <xm:f>List!$A$2:$A$11</xm:f>
          </x14:formula1>
          <xm:sqref>K18:K113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AEAF1-8288-4A0A-999A-460F4D6943CC}">
  <sheetPr codeName="Sheet3"/>
  <dimension ref="A1:C12"/>
  <sheetViews>
    <sheetView workbookViewId="0">
      <selection activeCell="A2" sqref="A2"/>
    </sheetView>
  </sheetViews>
  <sheetFormatPr defaultRowHeight="18" x14ac:dyDescent="0.55000000000000004"/>
  <cols>
    <col min="1" max="1" width="18.5" customWidth="1"/>
    <col min="3" max="3" width="18.1640625" customWidth="1"/>
  </cols>
  <sheetData>
    <row r="1" spans="1:3" x14ac:dyDescent="0.55000000000000004">
      <c r="A1" t="s">
        <v>22</v>
      </c>
      <c r="B1" t="s">
        <v>32</v>
      </c>
      <c r="C1" t="s">
        <v>23</v>
      </c>
    </row>
    <row r="2" spans="1:3" x14ac:dyDescent="0.55000000000000004">
      <c r="A2" t="s">
        <v>13</v>
      </c>
      <c r="B2" t="s">
        <v>30</v>
      </c>
      <c r="C2" t="s">
        <v>24</v>
      </c>
    </row>
    <row r="3" spans="1:3" x14ac:dyDescent="0.55000000000000004">
      <c r="A3" t="s">
        <v>14</v>
      </c>
      <c r="B3" t="s">
        <v>31</v>
      </c>
      <c r="C3" t="s">
        <v>25</v>
      </c>
    </row>
    <row r="4" spans="1:3" x14ac:dyDescent="0.55000000000000004">
      <c r="A4" t="s">
        <v>8</v>
      </c>
      <c r="C4" t="s">
        <v>29</v>
      </c>
    </row>
    <row r="5" spans="1:3" x14ac:dyDescent="0.55000000000000004">
      <c r="A5" t="s">
        <v>17</v>
      </c>
    </row>
    <row r="6" spans="1:3" x14ac:dyDescent="0.55000000000000004">
      <c r="A6" t="s">
        <v>12</v>
      </c>
    </row>
    <row r="7" spans="1:3" x14ac:dyDescent="0.55000000000000004">
      <c r="A7" t="s">
        <v>9</v>
      </c>
    </row>
    <row r="8" spans="1:3" x14ac:dyDescent="0.55000000000000004">
      <c r="A8" t="s">
        <v>15</v>
      </c>
    </row>
    <row r="9" spans="1:3" x14ac:dyDescent="0.55000000000000004">
      <c r="A9" t="s">
        <v>11</v>
      </c>
    </row>
    <row r="10" spans="1:3" x14ac:dyDescent="0.55000000000000004">
      <c r="A10" t="s">
        <v>16</v>
      </c>
    </row>
    <row r="11" spans="1:3" x14ac:dyDescent="0.55000000000000004">
      <c r="A11" t="s">
        <v>10</v>
      </c>
    </row>
    <row r="12" spans="1:3" x14ac:dyDescent="0.55000000000000004">
      <c r="A12" t="s">
        <v>39</v>
      </c>
    </row>
  </sheetData>
  <phoneticPr fontId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DD2AC-BEFA-4DFE-B34B-81AF0644A89B}">
  <sheetPr codeName="Sheet5"/>
  <dimension ref="A1:E4"/>
  <sheetViews>
    <sheetView workbookViewId="0">
      <selection activeCell="D9" sqref="D9"/>
    </sheetView>
  </sheetViews>
  <sheetFormatPr defaultRowHeight="18" x14ac:dyDescent="0.55000000000000004"/>
  <cols>
    <col min="1" max="1" width="17.6640625" customWidth="1"/>
    <col min="2" max="2" width="11.08203125" customWidth="1"/>
    <col min="3" max="3" width="10.5" customWidth="1"/>
    <col min="4" max="4" width="13.08203125" customWidth="1"/>
    <col min="5" max="5" width="15.4140625" customWidth="1"/>
  </cols>
  <sheetData>
    <row r="1" spans="1:5" x14ac:dyDescent="0.55000000000000004">
      <c r="A1" t="s">
        <v>35</v>
      </c>
      <c r="B1" t="s">
        <v>1</v>
      </c>
      <c r="C1" t="s">
        <v>2</v>
      </c>
      <c r="D1" t="s">
        <v>3</v>
      </c>
      <c r="E1" t="s">
        <v>41</v>
      </c>
    </row>
    <row r="2" spans="1:5" x14ac:dyDescent="0.55000000000000004">
      <c r="A2" t="s">
        <v>36</v>
      </c>
      <c r="B2">
        <v>1</v>
      </c>
      <c r="C2">
        <v>6</v>
      </c>
      <c r="D2">
        <v>3</v>
      </c>
      <c r="E2" t="b">
        <v>1</v>
      </c>
    </row>
    <row r="3" spans="1:5" x14ac:dyDescent="0.55000000000000004">
      <c r="A3" t="s">
        <v>37</v>
      </c>
      <c r="B3">
        <v>1</v>
      </c>
      <c r="C3">
        <v>3</v>
      </c>
      <c r="D3">
        <v>4</v>
      </c>
      <c r="E3" t="b">
        <v>0</v>
      </c>
    </row>
    <row r="4" spans="1:5" x14ac:dyDescent="0.55000000000000004">
      <c r="A4" t="s">
        <v>38</v>
      </c>
      <c r="B4">
        <v>1</v>
      </c>
      <c r="C4">
        <v>2</v>
      </c>
      <c r="D4">
        <v>3</v>
      </c>
      <c r="E4" t="b">
        <v>0</v>
      </c>
    </row>
  </sheetData>
  <phoneticPr fontId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8AA7D-7DC3-4584-BDF5-122596ED3771}">
  <sheetPr codeName="Sheet4"/>
  <dimension ref="A1:B2"/>
  <sheetViews>
    <sheetView workbookViewId="0">
      <selection activeCell="A3" sqref="A3"/>
    </sheetView>
  </sheetViews>
  <sheetFormatPr defaultRowHeight="18" x14ac:dyDescent="0.55000000000000004"/>
  <cols>
    <col min="1" max="1" width="16.83203125" customWidth="1"/>
    <col min="2" max="2" width="18.25" customWidth="1"/>
  </cols>
  <sheetData>
    <row r="1" spans="1:2" x14ac:dyDescent="0.55000000000000004">
      <c r="A1" t="s">
        <v>33</v>
      </c>
      <c r="B1" t="s">
        <v>34</v>
      </c>
    </row>
    <row r="2" spans="1:2" x14ac:dyDescent="0.55000000000000004">
      <c r="A2" t="s">
        <v>40</v>
      </c>
      <c r="B2" t="s">
        <v>27</v>
      </c>
    </row>
  </sheetData>
  <phoneticPr fontId="1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657B48-EC2A-46FB-A13F-1049ED3C2CB9}">
          <x14:formula1>
            <xm:f>List!$A$2:$A$11</xm:f>
          </x14:formula1>
          <xm:sqref>B2:B1048576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Master</vt:lpstr>
      <vt:lpstr>List</vt:lpstr>
      <vt:lpstr>Card</vt:lpstr>
      <vt:lpstr>LUT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2019-05-23T05:38:41Z</dcterms:created>
  <dcterms:modified xsi:type="dcterms:W3CDTF">2019-05-23T05:58:29Z</dcterms:modified>
</cp:coreProperties>
</file>